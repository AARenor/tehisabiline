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õendid" sheetId="1" state="visible" r:id="rId1"/>
    <sheet xmlns:r="http://schemas.openxmlformats.org/officeDocument/2006/relationships" name="Juhend" sheetId="2" state="visible" r:id="rId2"/>
  </sheets>
  <definedNames>
    <definedName name="_xlnm._FilterDatabase" localSheetId="0" hidden="1">'Tõendid'!$A$1:$M$12</definedName>
    <definedName name="_xlnm.Print_Titles" localSheetId="0">'Tõendid'!$1:$1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3B4D"/>
      <sz val="16"/>
    </font>
    <font>
      <color rgb="FF5A6B75"/>
      <sz val="11"/>
    </font>
    <font>
      <b val="1"/>
      <color rgb="FF1F3B4D"/>
      <sz val="12"/>
    </font>
    <font>
      <b val="1"/>
      <color rgb="FF000000"/>
      <sz val="11"/>
    </font>
    <font>
      <b val="1"/>
      <sz val="11"/>
    </font>
    <font>
      <sz val="11"/>
    </font>
    <font>
      <i val="1"/>
      <color rgb="FF5A6B75"/>
      <sz val="9"/>
    </font>
  </fonts>
  <fills count="4">
    <fill>
      <patternFill/>
    </fill>
    <fill>
      <patternFill patternType="gray125"/>
    </fill>
    <fill>
      <patternFill patternType="solid">
        <fgColor rgb="FF1F3B4D"/>
      </patternFill>
    </fill>
    <fill>
      <patternFill patternType="solid">
        <fgColor rgb="FFF2F6F8"/>
      </patternFill>
    </fill>
  </fills>
  <borders count="2">
    <border>
      <left/>
      <right/>
      <top/>
      <bottom/>
      <diagonal/>
    </border>
    <border>
      <bottom style="thin">
        <color rgb="FFD3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164" fontId="0" fillId="3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color rgb="FF1E6B3A"/>
      </font>
      <fill>
        <patternFill patternType="solid">
          <fgColor rgb="FFE3F5E9"/>
        </patternFill>
      </fill>
    </dxf>
    <dxf>
      <font>
        <color rgb="FF7A5300"/>
      </font>
      <fill>
        <patternFill patternType="solid">
          <fgColor rgb="FFFFF2D0"/>
        </patternFill>
      </fill>
    </dxf>
    <dxf>
      <font>
        <color rgb="FF9B1C1C"/>
      </font>
      <fill>
        <patternFill patternType="solid">
          <fgColor rgb="FFFCE4E4"/>
        </patternFill>
      </fill>
    </dxf>
    <dxf>
      <font>
        <color rgb="FF5A6B75"/>
      </font>
      <fill>
        <patternFill patternType="solid">
          <fgColor rgb="FFEDF1F4"/>
        </patternFill>
      </fill>
    </dxf>
    <dxf>
      <font>
        <color rgb="FF1B4E7A"/>
      </font>
      <fill>
        <patternFill patternType="solid">
          <fgColor rgb="FFE4EDF7"/>
        </patternFill>
      </fill>
    </dxf>
    <dxf>
      <font>
        <b val="1"/>
        <color rgb="FF9B1C1C"/>
      </font>
      <fill>
        <patternFill patternType="solid">
          <fgColor rgb="FF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4D"/>
    <outlinePr summaryBelow="1" summaryRight="1"/>
    <pageSetUpPr fitToPage="1"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34" customWidth="1" min="4" max="4"/>
    <col width="15" customWidth="1" min="5" max="5"/>
    <col width="34" customWidth="1" min="6" max="6"/>
    <col width="14" customWidth="1" min="7" max="7"/>
    <col width="17" customWidth="1" min="8" max="8"/>
    <col width="30" customWidth="1" min="9" max="9"/>
    <col width="30" customWidth="1" min="10" max="10"/>
    <col width="12" customWidth="1" min="11" max="11"/>
    <col width="16" customWidth="1" min="12" max="12"/>
    <col width="30" customWidth="1" min="13" max="13"/>
  </cols>
  <sheetData>
    <row r="1" ht="34" customHeight="1">
      <c r="A1" s="1" t="inlineStr">
        <is>
          <t>Meede</t>
        </is>
      </c>
      <c r="B1" s="1" t="inlineStr">
        <is>
          <t>Säte</t>
        </is>
      </c>
      <c r="C1" s="2" t="inlineStr">
        <is>
          <t>Nõue</t>
        </is>
      </c>
      <c r="D1" s="2" t="inlineStr">
        <is>
          <t>Tõend, mida koguda</t>
        </is>
      </c>
      <c r="E1" s="2" t="inlineStr">
        <is>
          <t>Omanik</t>
        </is>
      </c>
      <c r="F1" s="2" t="inlineStr">
        <is>
          <t>Testi kirjeldus</t>
        </is>
      </c>
      <c r="G1" s="1" t="inlineStr">
        <is>
          <t>Testi kuupäev</t>
        </is>
      </c>
      <c r="H1" s="2" t="inlineStr">
        <is>
          <t>Tulemus</t>
        </is>
      </c>
      <c r="I1" s="2" t="inlineStr">
        <is>
          <t>Puudus (leid)</t>
        </is>
      </c>
      <c r="J1" s="2" t="inlineStr">
        <is>
          <t>Parandus (tegevus)</t>
        </is>
      </c>
      <c r="K1" s="1" t="inlineStr">
        <is>
          <t>Tähtaeg</t>
        </is>
      </c>
      <c r="L1" s="2" t="inlineStr">
        <is>
          <t>Staatus</t>
        </is>
      </c>
      <c r="M1" s="2" t="inlineStr">
        <is>
          <t>Tõendi asukoht (link või tee)</t>
        </is>
      </c>
    </row>
    <row r="2" ht="49" customHeight="1">
      <c r="A2" s="3" t="inlineStr">
        <is>
          <t>(a)</t>
        </is>
      </c>
      <c r="B2" s="3" t="inlineStr">
        <is>
          <t>21(2)(a)</t>
        </is>
      </c>
      <c r="C2" s="4" t="inlineStr">
        <is>
          <t>Riskianalüüs ja infosüsteemide turvalisuse poliitika</t>
        </is>
      </c>
      <c r="D2" s="4" t="inlineStr">
        <is>
          <t>Kinnitatud riskiregister, turvapoliitika ja riskianalüüsi metoodika (versioon, kinnitaja, kuupäev)</t>
        </is>
      </c>
      <c r="E2" s="4" t="inlineStr">
        <is>
          <t>Küberturbe juht</t>
        </is>
      </c>
      <c r="F2" s="4" t="inlineStr">
        <is>
          <t>Vali 3 riski; kontrolli ravi, omanikku ja jääkriski</t>
        </is>
      </c>
      <c r="G2" s="5" t="n"/>
      <c r="H2" s="3" t="inlineStr">
        <is>
          <t>Pole hinnatud</t>
        </is>
      </c>
      <c r="I2" s="4" t="n"/>
      <c r="J2" s="4" t="n"/>
      <c r="K2" s="5" t="n"/>
      <c r="L2" s="3" t="inlineStr">
        <is>
          <t>Pole alustatud</t>
        </is>
      </c>
      <c r="M2" s="4" t="n"/>
    </row>
    <row r="3" ht="79" customHeight="1">
      <c r="A3" s="6" t="inlineStr">
        <is>
          <t>(b)</t>
        </is>
      </c>
      <c r="B3" s="6" t="inlineStr">
        <is>
          <t>21(2)(b)</t>
        </is>
      </c>
      <c r="C3" s="7" t="inlineStr">
        <is>
          <t>Intsidentide käsitlemine</t>
        </is>
      </c>
      <c r="D3" s="7" t="inlineStr">
        <is>
          <t>Intsidendiprotseduur, kontaktid ja teavituste logi; esmane teade hiljemalt 24 h, intsidenditeade hiljemalt 72 h, lõpparuanne ühe kuu jooksul intsidenditeate esitamisest (KüTS § 8)</t>
        </is>
      </c>
      <c r="E3" s="7" t="inlineStr">
        <is>
          <t>IT-juht</t>
        </is>
      </c>
      <c r="F3" s="7" t="inlineStr">
        <is>
          <t>Kontrolli, kas protseduur sisaldab 24 h, 72 h ja lõpparuande tähtaegu ning rolle; vaata viimast teavituste logi</t>
        </is>
      </c>
      <c r="G3" s="8" t="n"/>
      <c r="H3" s="6" t="inlineStr">
        <is>
          <t>Pole hinnatud</t>
        </is>
      </c>
      <c r="I3" s="7" t="n"/>
      <c r="J3" s="7" t="n"/>
      <c r="K3" s="8" t="n"/>
      <c r="L3" s="6" t="inlineStr">
        <is>
          <t>Pole alustatud</t>
        </is>
      </c>
      <c r="M3" s="7" t="n"/>
    </row>
    <row r="4" ht="34" customHeight="1">
      <c r="A4" s="3" t="inlineStr">
        <is>
          <t>(c)</t>
        </is>
      </c>
      <c r="B4" s="3" t="inlineStr">
        <is>
          <t>21(2)(c)</t>
        </is>
      </c>
      <c r="C4" s="4" t="inlineStr">
        <is>
          <t>Toimepidevus, varukoopiate haldus ja taastamine ning kriisijuhtimine</t>
        </is>
      </c>
      <c r="D4" s="4" t="inlineStr">
        <is>
          <t>Varundusplaan, viimase taastetesti raport, RTO/RPO ja kriisijuhtimise kord</t>
        </is>
      </c>
      <c r="E4" s="4" t="inlineStr">
        <is>
          <t>IT-juht</t>
        </is>
      </c>
      <c r="F4" s="4" t="inlineStr">
        <is>
          <t>Kontrolli viimast taastetesti ja RPO/RTO vastavust</t>
        </is>
      </c>
      <c r="G4" s="5" t="n"/>
      <c r="H4" s="3" t="inlineStr">
        <is>
          <t>Pole hinnatud</t>
        </is>
      </c>
      <c r="I4" s="4" t="n"/>
      <c r="J4" s="4" t="n"/>
      <c r="K4" s="5" t="n"/>
      <c r="L4" s="3" t="inlineStr">
        <is>
          <t>Pole alustatud</t>
        </is>
      </c>
      <c r="M4" s="4" t="n"/>
    </row>
    <row r="5" ht="64" customHeight="1">
      <c r="A5" s="6" t="inlineStr">
        <is>
          <t>(d)</t>
        </is>
      </c>
      <c r="B5" s="6" t="inlineStr">
        <is>
          <t>21(2)(d)</t>
        </is>
      </c>
      <c r="C5" s="7" t="inlineStr">
        <is>
          <t>Tarneahela turvalisus</t>
        </is>
      </c>
      <c r="D5" s="7" t="inlineStr">
        <is>
          <t>Kriitiliste tarnijate nimekiri, lepingute turvatingimused ja hindamise märkmed (sh suhted otseste tarnijate ja teenuseosutajatega)</t>
        </is>
      </c>
      <c r="E5" s="7" t="inlineStr">
        <is>
          <t>Hanked</t>
        </is>
      </c>
      <c r="F5" s="7" t="inlineStr">
        <is>
          <t>Vali 3 tarnijat ja kontrolli lepingut ning hindamist</t>
        </is>
      </c>
      <c r="G5" s="8" t="n"/>
      <c r="H5" s="6" t="inlineStr">
        <is>
          <t>Pole hinnatud</t>
        </is>
      </c>
      <c r="I5" s="7" t="n"/>
      <c r="J5" s="7" t="n"/>
      <c r="K5" s="8" t="n"/>
      <c r="L5" s="6" t="inlineStr">
        <is>
          <t>Pole alustatud</t>
        </is>
      </c>
      <c r="M5" s="7" t="n"/>
    </row>
    <row r="6" ht="49" customHeight="1">
      <c r="A6" s="3" t="inlineStr">
        <is>
          <t>(e)</t>
        </is>
      </c>
      <c r="B6" s="3" t="inlineStr">
        <is>
          <t>21(2)(e)</t>
        </is>
      </c>
      <c r="C6" s="4" t="inlineStr">
        <is>
          <t>Turvalisus hankimisel, arendamisel ja hooldamisel</t>
        </is>
      </c>
      <c r="D6" s="4" t="inlineStr">
        <is>
          <t>Haavatavuste käsitlemise ja avalikustamise kord, kanal ja parandamise logi (tähtajad on sisemised sihid)</t>
        </is>
      </c>
      <c r="E6" s="4" t="inlineStr">
        <is>
          <t>Arendusjuht</t>
        </is>
      </c>
      <c r="F6" s="4" t="inlineStr">
        <is>
          <t>Kontrolli 5 viimase haavatavuse parandamise tõendit</t>
        </is>
      </c>
      <c r="G6" s="5" t="n"/>
      <c r="H6" s="3" t="inlineStr">
        <is>
          <t>Pole hinnatud</t>
        </is>
      </c>
      <c r="I6" s="4" t="n"/>
      <c r="J6" s="4" t="n"/>
      <c r="K6" s="5" t="n"/>
      <c r="L6" s="3" t="inlineStr">
        <is>
          <t>Pole alustatud</t>
        </is>
      </c>
      <c r="M6" s="4" t="n"/>
    </row>
    <row r="7" ht="49" customHeight="1">
      <c r="A7" s="6" t="inlineStr">
        <is>
          <t>(f)</t>
        </is>
      </c>
      <c r="B7" s="6" t="inlineStr">
        <is>
          <t>21(2)(f)</t>
        </is>
      </c>
      <c r="C7" s="7" t="inlineStr">
        <is>
          <t>Riskijuhtimismeetmete tõhususe hindamine</t>
        </is>
      </c>
      <c r="D7" s="7" t="inlineStr">
        <is>
          <t>Testiplaan, viimased tulemused ja leidude jälgimine</t>
        </is>
      </c>
      <c r="E7" s="7" t="inlineStr">
        <is>
          <t>Turvajuht</t>
        </is>
      </c>
      <c r="F7" s="7" t="inlineStr">
        <is>
          <t>Kontrolli, kas testid katavad kriitilised süsteemid ja kas leiud on parandatud</t>
        </is>
      </c>
      <c r="G7" s="8" t="n"/>
      <c r="H7" s="6" t="inlineStr">
        <is>
          <t>Pole hinnatud</t>
        </is>
      </c>
      <c r="I7" s="7" t="n"/>
      <c r="J7" s="7" t="n"/>
      <c r="K7" s="8" t="n"/>
      <c r="L7" s="6" t="inlineStr">
        <is>
          <t>Pole alustatud</t>
        </is>
      </c>
      <c r="M7" s="7" t="n"/>
    </row>
    <row r="8" ht="34" customHeight="1">
      <c r="A8" s="3" t="inlineStr">
        <is>
          <t>(g)</t>
        </is>
      </c>
      <c r="B8" s="3" t="inlineStr">
        <is>
          <t>21(2)(g)</t>
        </is>
      </c>
      <c r="C8" s="4" t="inlineStr">
        <is>
          <t>Küberhügieen ja küberturvalisuse koolitus</t>
        </is>
      </c>
      <c r="D8" s="4" t="inlineStr">
        <is>
          <t>Koolituskava, osalejate nimekiri ja sisu ajakohasus</t>
        </is>
      </c>
      <c r="E8" s="4" t="inlineStr">
        <is>
          <t>Personal</t>
        </is>
      </c>
      <c r="F8" s="4" t="inlineStr">
        <is>
          <t>Kontrolli koolituse katvust ja värskust</t>
        </is>
      </c>
      <c r="G8" s="5" t="n"/>
      <c r="H8" s="3" t="inlineStr">
        <is>
          <t>Pole hinnatud</t>
        </is>
      </c>
      <c r="I8" s="4" t="n"/>
      <c r="J8" s="4" t="n"/>
      <c r="K8" s="5" t="n"/>
      <c r="L8" s="3" t="inlineStr">
        <is>
          <t>Pole alustatud</t>
        </is>
      </c>
      <c r="M8" s="4" t="n"/>
    </row>
    <row r="9" ht="49" customHeight="1">
      <c r="A9" s="6" t="inlineStr">
        <is>
          <t>(h)</t>
        </is>
      </c>
      <c r="B9" s="6" t="inlineStr">
        <is>
          <t>21(2)(h)</t>
        </is>
      </c>
      <c r="C9" s="7" t="inlineStr">
        <is>
          <t>Krüptograafia ja krüpteerimine</t>
        </is>
      </c>
      <c r="D9" s="7" t="inlineStr">
        <is>
          <t>Krüptograafia ja krüpteerimise poliitika, võtmete ja sertifikaatide loetelu</t>
        </is>
      </c>
      <c r="E9" s="7" t="inlineStr">
        <is>
          <t>IT-juht</t>
        </is>
      </c>
      <c r="F9" s="7" t="inlineStr">
        <is>
          <t>Kontrolli andmete liikumist, krüpteerimist ja sertifikaatide aegumist</t>
        </is>
      </c>
      <c r="G9" s="8" t="n"/>
      <c r="H9" s="6" t="inlineStr">
        <is>
          <t>Pole hinnatud</t>
        </is>
      </c>
      <c r="I9" s="7" t="n"/>
      <c r="J9" s="7" t="n"/>
      <c r="K9" s="8" t="n"/>
      <c r="L9" s="6" t="inlineStr">
        <is>
          <t>Pole alustatud</t>
        </is>
      </c>
      <c r="M9" s="7" t="n"/>
    </row>
    <row r="10" ht="34" customHeight="1">
      <c r="A10" s="3" t="inlineStr">
        <is>
          <t>(i)</t>
        </is>
      </c>
      <c r="B10" s="3" t="inlineStr">
        <is>
          <t>21(2)(i)</t>
        </is>
      </c>
      <c r="C10" s="4" t="inlineStr">
        <is>
          <t>Personaliturvalisus, juurdepääsukontroll ja varahaldus</t>
        </is>
      </c>
      <c r="D10" s="4" t="inlineStr">
        <is>
          <t>Õiguste maatriks ja ülevaatuse tõend, töölt lahkumise kord, varanimekiri</t>
        </is>
      </c>
      <c r="E10" s="4" t="inlineStr">
        <is>
          <t>IT-juht ja personal</t>
        </is>
      </c>
      <c r="F10" s="4" t="inlineStr">
        <is>
          <t>Vali 5 kontot (sh 1 lahkunud töötaja) ja kontrolli õigusi ning varakirjeid</t>
        </is>
      </c>
      <c r="G10" s="5" t="n"/>
      <c r="H10" s="3" t="inlineStr">
        <is>
          <t>Pole hinnatud</t>
        </is>
      </c>
      <c r="I10" s="4" t="n"/>
      <c r="J10" s="4" t="n"/>
      <c r="K10" s="5" t="n"/>
      <c r="L10" s="3" t="inlineStr">
        <is>
          <t>Pole alustatud</t>
        </is>
      </c>
      <c r="M10" s="4" t="n"/>
    </row>
    <row r="11" ht="49" customHeight="1">
      <c r="A11" s="6" t="inlineStr">
        <is>
          <t>(j)</t>
        </is>
      </c>
      <c r="B11" s="6" t="inlineStr">
        <is>
          <t>21(2)(j)</t>
        </is>
      </c>
      <c r="C11" s="7" t="inlineStr">
        <is>
          <t>Mitmefaktorautentimine ja turvaline side (sh hädaolukorra side)</t>
        </is>
      </c>
      <c r="D11" s="7" t="inlineStr">
        <is>
          <t>MFA katvuse loend kriitiliste kontodega, turvalise side kirjeldus ja hädaolukorra sideviis</t>
        </is>
      </c>
      <c r="E11" s="7" t="inlineStr">
        <is>
          <t>IT-juht</t>
        </is>
      </c>
      <c r="F11" s="7" t="inlineStr">
        <is>
          <t>Kontrolli kriitiliste kontode MFA-d ja hädaolukorra sideviisi toimimist</t>
        </is>
      </c>
      <c r="G11" s="8" t="n"/>
      <c r="H11" s="6" t="inlineStr">
        <is>
          <t>Pole hinnatud</t>
        </is>
      </c>
      <c r="I11" s="7" t="n"/>
      <c r="J11" s="7" t="n"/>
      <c r="K11" s="8" t="n"/>
      <c r="L11" s="6" t="inlineStr">
        <is>
          <t>Pole alustatud</t>
        </is>
      </c>
      <c r="M11" s="7" t="n"/>
    </row>
    <row r="12" ht="34" customHeight="1">
      <c r="A12" s="3" t="inlineStr">
        <is>
          <t>Juhtorgan</t>
        </is>
      </c>
      <c r="B12" s="3" t="inlineStr">
        <is>
          <t>art 20 · KüTS §6¹</t>
        </is>
      </c>
      <c r="C12" s="4" t="inlineStr">
        <is>
          <t>Juhtorgani kohustused (art 20 / KüTS §6¹)</t>
        </is>
      </c>
      <c r="D12" s="4" t="inlineStr">
        <is>
          <t>Juhatuse protokoll, mis kinnitab riskijuhtimismeetmed; koolituse tõend</t>
        </is>
      </c>
      <c r="E12" s="4" t="inlineStr">
        <is>
          <t>Juhatus</t>
        </is>
      </c>
      <c r="F12" s="4" t="inlineStr">
        <is>
          <t>Kontrolli viimast juhatuse protokolli ja koolituse tõendit</t>
        </is>
      </c>
      <c r="G12" s="5" t="n"/>
      <c r="H12" s="3" t="inlineStr">
        <is>
          <t>Pole hinnatud</t>
        </is>
      </c>
      <c r="I12" s="4" t="n"/>
      <c r="J12" s="4" t="n"/>
      <c r="K12" s="5" t="n"/>
      <c r="L12" s="3" t="inlineStr">
        <is>
          <t>Pole alustatud</t>
        </is>
      </c>
      <c r="M12" s="4" t="n"/>
    </row>
  </sheetData>
  <autoFilter ref="A1:M12"/>
  <conditionalFormatting sqref="H2:H200">
    <cfRule type="expression" priority="1" dxfId="0">
      <formula>$H2="Vastab"</formula>
    </cfRule>
    <cfRule type="expression" priority="2" dxfId="1">
      <formula>$H2="Osaliselt vastab"</formula>
    </cfRule>
    <cfRule type="expression" priority="3" dxfId="2">
      <formula>$H2="Ei vasta"</formula>
    </cfRule>
    <cfRule type="expression" priority="4" dxfId="3">
      <formula>$H2="Pole hinnatud"</formula>
    </cfRule>
  </conditionalFormatting>
  <conditionalFormatting sqref="L2:L200">
    <cfRule type="expression" priority="5" dxfId="0">
      <formula>$L2="Valmis"</formula>
    </cfRule>
    <cfRule type="expression" priority="6" dxfId="4">
      <formula>$L2="Töös"</formula>
    </cfRule>
    <cfRule type="expression" priority="7" dxfId="3">
      <formula>$L2="Pole alustatud"</formula>
    </cfRule>
    <cfRule type="expression" priority="8" dxfId="1">
      <formula>$L2="Edasi lükatud"</formula>
    </cfRule>
  </conditionalFormatting>
  <conditionalFormatting sqref="K2:K200">
    <cfRule type="expression" priority="9" dxfId="5">
      <formula>AND($K2&lt;&gt;"",$L2&lt;&gt;"Valmis",ISNUMBER($K2),$K2&lt;TODAY())</formula>
    </cfRule>
  </conditionalFormatting>
  <dataValidations count="2">
    <dataValidation sqref="H2:H200" showDropDown="0" showInputMessage="0" showErrorMessage="0" allowBlank="1" errorTitle="Vali loendist" error="Kasuta ühte lubatud väärtust: Vastab, Osaliselt vastab, Ei vasta, Pole hinnatud" promptTitle="Lubatud väärtused" prompt="Vastab, Osaliselt vastab, Ei vasta, Pole hinnatud" type="list">
      <formula1>"Vastab,Osaliselt vastab,Ei vasta,Pole hinnatud"</formula1>
    </dataValidation>
    <dataValidation sqref="L2:L200" showDropDown="0" showInputMessage="0" showErrorMessage="0" allowBlank="1" errorTitle="Vali loendist" error="Kasuta ühte lubatud väärtust: Pole alustatud, Töös, Valmis, Edasi lükatud" promptTitle="Lubatud väärtused" prompt="Pole alustatud, Töös, Valmis, Edasi lükatud" type="list">
      <formula1>"Pole alustatud,Töös,Valmis,Edasi lükatud"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A6B75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  <col width="18" customWidth="1" min="3" max="3"/>
  </cols>
  <sheetData>
    <row r="1">
      <c r="A1" s="9" t="inlineStr">
        <is>
          <t>NIS2 auditi tõendite mall</t>
        </is>
      </c>
    </row>
    <row r="2" ht="32" customHeight="1">
      <c r="A2" s="10" t="inlineStr">
        <is>
          <t>Töömall tõendite kogumiseks NIS2 direktiivi (EL) 2022/2555 artikli 21 lõike 2 punktide (a)–(j) ja artikli 20 juhtorgani kohustuste kohta. Täida lehel „Tõendid“ üks rida iga punkti ja juhtorgani rea kohta.</t>
        </is>
      </c>
    </row>
    <row r="4">
      <c r="A4" s="11" t="inlineStr">
        <is>
          <t>Kuidas täita</t>
        </is>
      </c>
    </row>
    <row r="5" ht="30" customHeight="1">
      <c r="A5" s="12" t="inlineStr">
        <is>
          <t>1.</t>
        </is>
      </c>
      <c r="B5" s="13" t="inlineStr">
        <is>
          <t>Määra iga meetme omanik ja kirjuta testi kirjeldus nii, et teine inimene saaks sama testi korrata.</t>
        </is>
      </c>
    </row>
    <row r="6" ht="30" customHeight="1">
      <c r="A6" s="12" t="inlineStr">
        <is>
          <t>2.</t>
        </is>
      </c>
      <c r="B6" s="13" t="inlineStr">
        <is>
          <t>Kirjuta testi kuupäev ja tulemus rippmenüüst. Tulemus peab põhinema nähtud tõendil, mitte vastusel küsimusele „kas see on olemas?“.</t>
        </is>
      </c>
    </row>
    <row r="7" ht="30" customHeight="1">
      <c r="A7" s="12" t="inlineStr">
        <is>
          <t>3.</t>
        </is>
      </c>
      <c r="B7" s="13" t="inlineStr">
        <is>
          <t>Pane tõendi asukoht (jagatud kausta tee, pileti number või link) veergu „Tõendi asukoht“. Ilma asukohata ei ole tõend auditiks kasutatav.</t>
        </is>
      </c>
    </row>
    <row r="8" ht="30" customHeight="1">
      <c r="A8" s="12" t="inlineStr">
        <is>
          <t>4.</t>
        </is>
      </c>
      <c r="B8" s="13" t="inlineStr">
        <is>
          <t>Iga puuduse kohta kirjuta parandus ja tähtaeg. Möödunud tähtaeg värvub punaseks, kuni staatus on „Valmis“.</t>
        </is>
      </c>
    </row>
    <row r="9" ht="30" customHeight="1">
      <c r="A9" s="12" t="inlineStr">
        <is>
          <t>5.</t>
        </is>
      </c>
      <c r="B9" s="13" t="inlineStr">
        <is>
          <t>Enne auditi algust vaata juhatusele üle kokkuvõte lehe „Juhend“ allosas ja otsusta, millised puudused viiakse tegevuskavasse.</t>
        </is>
      </c>
    </row>
    <row r="11">
      <c r="A11" s="11" t="inlineStr">
        <is>
          <t>Veergude tähendus</t>
        </is>
      </c>
    </row>
    <row r="12" ht="26" customHeight="1">
      <c r="A12" s="14" t="inlineStr">
        <is>
          <t>Meede / Säte</t>
        </is>
      </c>
      <c r="B12" s="13" t="inlineStr">
        <is>
          <t>Artikli 21 lõike 2 punkt (a)–(j) või juhtorgani rida (art 20); hoiab rea seotud direktiivi tekstiga.</t>
        </is>
      </c>
    </row>
    <row r="13" ht="26" customHeight="1">
      <c r="A13" s="14" t="inlineStr">
        <is>
          <t>Nõue</t>
        </is>
      </c>
      <c r="B13" s="13" t="inlineStr">
        <is>
          <t>Meetme nimi sellisel kujul, nagu seda kohustuslase dokumentatsioonis kasutatakse.</t>
        </is>
      </c>
    </row>
    <row r="14" ht="26" customHeight="1">
      <c r="A14" s="14" t="inlineStr">
        <is>
          <t>Tõend, mida koguda</t>
        </is>
      </c>
      <c r="B14" s="13" t="inlineStr">
        <is>
          <t>Dokument või väljavõte, mida auditeerija küsib.</t>
        </is>
      </c>
    </row>
    <row r="15" ht="26" customHeight="1">
      <c r="A15" s="14" t="inlineStr">
        <is>
          <t>Tulemus</t>
        </is>
      </c>
      <c r="B15" s="13" t="inlineStr">
        <is>
          <t>Vastab / Osaliselt vastab / Ei vasta / Pole hinnatud.</t>
        </is>
      </c>
    </row>
    <row r="16" ht="26" customHeight="1">
      <c r="A16" s="14" t="inlineStr">
        <is>
          <t>Puudus</t>
        </is>
      </c>
      <c r="B16" s="13" t="inlineStr">
        <is>
          <t>Konkreetne leid: mis puudub või ei toimi, mitte üldine hinnang.</t>
        </is>
      </c>
    </row>
    <row r="17" ht="26" customHeight="1">
      <c r="A17" s="14" t="inlineStr">
        <is>
          <t>Staatus</t>
        </is>
      </c>
      <c r="B17" s="13" t="inlineStr">
        <is>
          <t>Pole alustatud / Töös / Valmis / Edasi lükatud.</t>
        </is>
      </c>
    </row>
    <row r="19">
      <c r="A19" s="11" t="inlineStr">
        <is>
          <t>Kokkuvõte (arvutatakse lehelt „Tõendid“)</t>
        </is>
      </c>
    </row>
    <row r="20">
      <c r="A20" s="15" t="inlineStr">
        <is>
          <t>Ridu kokku</t>
        </is>
      </c>
      <c r="C20" s="16">
        <f>COUNTA('Tõendid'!$C$2:$C$200)</f>
        <v/>
      </c>
    </row>
    <row r="21">
      <c r="A21" s="15" t="inlineStr">
        <is>
          <t>Valmis</t>
        </is>
      </c>
      <c r="C21" s="16">
        <f>COUNTIF('Tõendid'!$L$2:$L$200,"Valmis")</f>
        <v/>
      </c>
    </row>
    <row r="22">
      <c r="A22" s="15" t="inlineStr">
        <is>
          <t>Töös</t>
        </is>
      </c>
      <c r="C22" s="16">
        <f>COUNTIF('Tõendid'!$L$2:$L$200,"Töös")</f>
        <v/>
      </c>
    </row>
    <row r="23">
      <c r="A23" s="15" t="inlineStr">
        <is>
          <t>Pole alustatud</t>
        </is>
      </c>
      <c r="C23" s="16">
        <f>COUNTIF('Tõendid'!$L$2:$L$200,"Pole alustatud")</f>
        <v/>
      </c>
    </row>
    <row r="24">
      <c r="A24" s="15" t="inlineStr">
        <is>
          <t>Edasi lükatud</t>
        </is>
      </c>
      <c r="C24" s="16">
        <f>COUNTIF('Tõendid'!$L$2:$L$200,"Edasi lükatud")</f>
        <v/>
      </c>
    </row>
    <row r="25">
      <c r="A25" s="15" t="inlineStr">
        <is>
          <t>Tulemus: vastab</t>
        </is>
      </c>
      <c r="C25" s="16">
        <f>COUNTIF('Tõendid'!$H$2:$H$200,"Vastab")</f>
        <v/>
      </c>
    </row>
    <row r="26">
      <c r="A26" s="15" t="inlineStr">
        <is>
          <t>Tulemus: osaliselt vastab</t>
        </is>
      </c>
      <c r="C26" s="16">
        <f>COUNTIF('Tõendid'!$H$2:$H$200,"Osaliselt vastab")</f>
        <v/>
      </c>
    </row>
    <row r="27">
      <c r="A27" s="15" t="inlineStr">
        <is>
          <t>Tulemus: ei vasta</t>
        </is>
      </c>
      <c r="C27" s="16">
        <f>COUNTIF('Tõendid'!$H$2:$H$200,"Ei vasta")</f>
        <v/>
      </c>
    </row>
    <row r="28">
      <c r="A28" s="15" t="inlineStr">
        <is>
          <t>Üle tähtaja</t>
        </is>
      </c>
      <c r="C28" s="16">
        <f>SUMPRODUCT(('Tõendid'!$K$2:$K$200&lt;&gt;"")*('Tõendid'!$K$2:$K$200&lt;TODAY())*('Tõendid'!$L$2:$L$200&lt;&gt;"Valmis"))</f>
        <v/>
      </c>
    </row>
    <row r="31">
      <c r="A31" s="11" t="inlineStr">
        <is>
          <t>Mida see fail ei ole</t>
        </is>
      </c>
    </row>
    <row r="32" ht="58" customHeight="1">
      <c r="A32" s="13" t="inlineStr">
        <is>
          <t>See on töövahend, mitte auditiraport, sertifikaat ega vastavusdeklaratsioon. NIS2 ei nõua ühte sertifikaati: auditi järeldus peab põhinema ulatusel, kriteeriumidel ja nähtud tõenditel. Täidetud tabel ilma tõendite asukohtadeta ei ole auditiks piisav. Kontrolli enne kasutamist kehtivat KüTS-i redaktsiooni (kehtiv 16.10.2026).</t>
        </is>
      </c>
    </row>
    <row r="34">
      <c r="A34" s="17" t="inlineStr">
        <is>
          <t>Allikas: NIS2 direktiiv (EL) 2022/2555, art 20 ja art 21 lg 2 · KüTS (kehtiv 16.10.2026) · tehisabiline.ee/nis2/audit/</t>
        </is>
      </c>
    </row>
  </sheetData>
  <mergeCells count="2">
    <mergeCell ref="A32:C3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tehisabiline.ee</dc:creator>
  <dc:title xmlns:dc="http://purl.org/dc/elements/1.1/">NIS2 auditi tõendite mall</dc:title>
  <dc:description xmlns:dc="http://purl.org/dc/elements/1.1/">Töömall NIS2 auditi tõendite kogumiseks. Allikas: https://tehisabiline.ee/nis2/audit/</dc:description>
  <dc:subject xmlns:dc="http://purl.org/dc/elements/1.1/">NIS2 direktiivi art 21 lg 2 tõendite register</dc:subject>
  <dcterms:created xmlns:dcterms="http://purl.org/dc/terms/" xmlns:xsi="http://www.w3.org/2001/XMLSchema-instance" xsi:type="dcterms:W3CDTF">2026-10-27T13:24:01+00:00Z</dcterms:created>
  <dcterms:modified xmlns:dcterms="http://purl.org/dc/terms/" xmlns:xsi="http://www.w3.org/2001/XMLSchema-instance" xsi:type="dcterms:W3CDTF">2026-10-27T13:24:01+00:00Z</dcterms:modified>
  <cp:keywords>NIS2, audit, tõendid, art 21, KüTS</cp:keywords>
</cp:coreProperties>
</file>